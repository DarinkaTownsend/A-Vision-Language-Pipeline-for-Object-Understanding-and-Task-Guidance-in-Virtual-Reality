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RINKA\Downloads\"/>
    </mc:Choice>
  </mc:AlternateContent>
  <xr:revisionPtr revIDLastSave="0" documentId="13_ncr:1_{C71D9957-F402-4E93-8CA8-A3046E4344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isted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1" i="1"/>
  <c r="C10" i="1"/>
  <c r="C9" i="1"/>
  <c r="C8" i="1"/>
  <c r="C7" i="1"/>
  <c r="C6" i="1"/>
  <c r="C5" i="1"/>
  <c r="C12" i="1" l="1"/>
  <c r="C13" i="1"/>
</calcChain>
</file>

<file path=xl/sharedStrings.xml><?xml version="1.0" encoding="utf-8"?>
<sst xmlns="http://schemas.openxmlformats.org/spreadsheetml/2006/main" count="104" uniqueCount="46">
  <si>
    <t>Assisted Condition Evaluation Log</t>
  </si>
  <si>
    <t>VR prototype user study: vision-language assistant condition</t>
  </si>
  <si>
    <t>Summary Metric</t>
  </si>
  <si>
    <t>Value</t>
  </si>
  <si>
    <t>Notes</t>
  </si>
  <si>
    <t>Participants</t>
  </si>
  <si>
    <t>Assisted condition: participants selected objects in VR, asked questions through voice input, and received contextual feedback through text, speech, and visual highlighting. Accuracy and relevance were manually coded as Yes/No.</t>
  </si>
  <si>
    <t>Participants with VR experience</t>
  </si>
  <si>
    <t>Participants without VR experience</t>
  </si>
  <si>
    <t>Average completion time (s)</t>
  </si>
  <si>
    <t>Average number of steps</t>
  </si>
  <si>
    <t>Accurate responses</t>
  </si>
  <si>
    <t>Relevant responses</t>
  </si>
  <si>
    <t>Response accuracy rate</t>
  </si>
  <si>
    <t>Response relevance rate</t>
  </si>
  <si>
    <t>Average response latency (s)</t>
  </si>
  <si>
    <t>Participant ID</t>
  </si>
  <si>
    <t>Prior VR Experience</t>
  </si>
  <si>
    <t>Completion Time (s)</t>
  </si>
  <si>
    <t>Steps</t>
  </si>
  <si>
    <t>Accurate Response</t>
  </si>
  <si>
    <t>Relevant Response</t>
  </si>
  <si>
    <t>P01</t>
  </si>
  <si>
    <t>Yes</t>
  </si>
  <si>
    <t>P02</t>
  </si>
  <si>
    <t>No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</si>
  <si>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</si>
  <si>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</si>
  <si>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</si>
  <si>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</si>
  <si>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</si>
  <si>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</si>
  <si>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</si>
  <si>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</si>
  <si>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</si>
  <si>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</si>
  <si>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</si>
  <si>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</si>
  <si>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</si>
  <si>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</si>
  <si>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</si>
  <si>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</si>
  <si>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</si>
  <si>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</si>
  <si>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Task</t>
  </si>
  <si>
    <t>You are in a virtual kitchen, and your goal is to prepare a simple dish with fish. Explore the objects available in the scene, identify which ones are useful for the task, and decide what object or action is needed next.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</si>
</sst>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0F172A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8FAFC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2" fontId="0" fillId="3" borderId="0" xfId="0" applyNumberFormat="1" applyFill="1"/>
    <xf numFmtId="9" fontId="0" fillId="3" borderId="0" xfId="0" applyNumberFormat="1" applyFill="1"/>
    <xf numFmtId="0" fontId="0" fillId="3" borderId="1" xfId="0" applyFill="1" applyBorder="1"/>
    <xf numFmtId="2" fontId="0" fillId="3" borderId="1" xfId="0" applyNumberFormat="1" applyFill="1" applyBorder="1"/>
    <xf numFmtId="0" fontId="2" fillId="4" borderId="0" xfId="0" applyFont="1" applyFill="1" applyAlignment="1">
      <alignment horizontal="center" vertical="center" wrapText="1"/>
    </xf>
    <xf numFmtId="0" fontId="0" fillId="0" borderId="2" xfId="0" applyBorder="1"/>
    <xf numFmtId="1" fontId="0" fillId="0" borderId="0" xfId="0" applyNumberFormat="1"/>
    <xf numFmtId="1" fontId="0" fillId="0" borderId="2" xfId="0" applyNumberFormat="1" applyBorder="1"/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3" borderId="3" xfId="0" applyFill="1" applyBorder="1"/>
    <xf numFmtId="2" fontId="0" fillId="3" borderId="3" xfId="0" applyNumberFormat="1" applyFill="1" applyBorder="1"/>
    <xf numFmtId="0" fontId="3" fillId="0" borderId="0" xfId="0" applyFont="1" applyAlignment="1">
      <alignment vertical="center"/>
    </xf>
  </cellXfs>
  <cellStyles count="1">
    <cellStyle name="Normal" xfId="0" builtinId="0"/>
  </cellStyles>
  <dxfs count="2">
    <dxf>
      <fill>
        <patternFill patternType="solid">
          <bgColor rgb="FFFECACA"/>
        </patternFill>
      </fill>
    </dxf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istedEvaluationTable" displayName="AssistedEvaluationTable" ref="B16:G36">
  <tableColumns count="6">
    <tableColumn id="1" xr3:uid="{00000000-0010-0000-0000-000001000000}" name="Participant ID"/>
    <tableColumn id="2" xr3:uid="{00000000-0010-0000-0000-000002000000}" name="Prior VR Experience"/>
    <tableColumn id="3" xr3:uid="{00000000-0010-0000-0000-000003000000}" name="Completion Time (s)"/>
    <tableColumn id="4" xr3:uid="{00000000-0010-0000-0000-000004000000}" name="Steps"/>
    <tableColumn id="5" xr3:uid="{00000000-0010-0000-0000-000005000000}" name="Accurate Response"/>
    <tableColumn id="6" xr3:uid="{00000000-0010-0000-0000-000006000000}" name="Relevant 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6"/>
  <sheetViews>
    <sheetView tabSelected="1" zoomScale="85" zoomScaleNormal="85" workbookViewId="0">
      <selection activeCell="I6" sqref="I6"/>
    </sheetView>
  </sheetViews>
  <sheetFormatPr baseColWidth="10" defaultColWidth="8.6640625" defaultRowHeight="14"/>
  <cols>
    <col min="2" max="2" width="33.6640625" customWidth="1"/>
    <col min="3" max="3" width="18" customWidth="1"/>
    <col min="4" max="4" width="20" customWidth="1"/>
    <col min="5" max="5" width="12" customWidth="1"/>
    <col min="6" max="7" width="18" customWidth="1"/>
    <col min="8" max="8" width="3" customWidth="1"/>
    <col min="9" max="9" width="44" customWidth="1"/>
  </cols>
  <sheetData>
    <row r="1" spans="2:9" ht="29.5" customHeight="1">
      <c r="B1" s="11" t="s">
        <v>0</v>
      </c>
      <c r="C1" s="11"/>
      <c r="D1" s="11"/>
      <c r="E1" s="11"/>
      <c r="F1" s="11"/>
      <c r="G1" s="11"/>
      <c r="H1" s="16"/>
      <c r="I1" s="16"/>
    </row>
    <row r="2" spans="2:9" ht="29.5" customHeight="1">
      <c r="B2" s="11" t="s">
        <v>1</v>
      </c>
      <c r="C2" s="11"/>
      <c r="D2" s="11"/>
      <c r="E2" s="11"/>
      <c r="F2" s="11"/>
      <c r="G2" s="11"/>
      <c r="H2" s="16"/>
      <c r="I2" s="16"/>
    </row>
    <row r="3" spans="2:9" ht="29.5" customHeight="1"/>
    <row r="4" spans="2:9" ht="29.5" customHeight="1">
      <c r="B4" s="1" t="s">
        <v>2</v>
      </c>
      <c r="C4" s="1" t="s">
        <v>3</v>
      </c>
      <c r="E4" s="13" t="s">
        <v>4</v>
      </c>
      <c r="F4" s="13"/>
      <c r="G4" s="13"/>
    </row>
    <row r="5" spans="2:9" ht="29.5" customHeight="1">
      <c r="B5" s="2" t="s">
        <v>5</v>
      </c>
      <c r="C5" s="2">
        <f>COUNTA(B17:B36)</f>
        <v>20</v>
      </c>
      <c r="E5" s="12" t="s">
        <v>6</v>
      </c>
      <c r="F5" s="12"/>
      <c r="G5" s="12"/>
    </row>
    <row r="6" spans="2:9" ht="29.5" customHeight="1">
      <c r="B6" s="2" t="s">
        <v>7</v>
      </c>
      <c r="C6" s="2">
        <f>COUNTIF(C17:C36,"Yes")</f>
        <v>6</v>
      </c>
      <c r="E6" s="12"/>
      <c r="F6" s="12"/>
      <c r="G6" s="12"/>
    </row>
    <row r="7" spans="2:9" ht="29.5" customHeight="1">
      <c r="B7" s="2" t="s">
        <v>8</v>
      </c>
      <c r="C7" s="2">
        <f>COUNTIF(C17:C36,"No")</f>
        <v>14</v>
      </c>
      <c r="E7" s="12"/>
      <c r="F7" s="12"/>
      <c r="G7" s="12"/>
    </row>
    <row r="8" spans="2:9" ht="29.5" customHeight="1">
      <c r="B8" s="2" t="s">
        <v>9</v>
      </c>
      <c r="C8" s="3">
        <f>AVERAGE(D17:D36)</f>
        <v>120.45</v>
      </c>
    </row>
    <row r="9" spans="2:9" ht="29.5" customHeight="1">
      <c r="B9" s="2" t="s">
        <v>10</v>
      </c>
      <c r="C9" s="3">
        <f>AVERAGE(E17:E36)</f>
        <v>4</v>
      </c>
      <c r="E9" s="13" t="s">
        <v>44</v>
      </c>
      <c r="F9" s="13"/>
      <c r="G9" s="13"/>
    </row>
    <row r="10" spans="2:9" ht="29.5" customHeight="1">
      <c r="B10" s="2" t="s">
        <v>11</v>
      </c>
      <c r="C10" s="2">
        <f>COUNTIF(F17:F36,"Yes")</f>
        <v>17</v>
      </c>
      <c r="E10" s="12" t="s">
        <v>45</v>
      </c>
      <c r="F10" s="12"/>
      <c r="G10" s="12"/>
    </row>
    <row r="11" spans="2:9" ht="29.5" customHeight="1">
      <c r="B11" s="2" t="s">
        <v>12</v>
      </c>
      <c r="C11" s="2">
        <f>COUNTIF(G17:G36,"Yes")</f>
        <v>18</v>
      </c>
      <c r="E11" s="12"/>
      <c r="F11" s="12"/>
      <c r="G11" s="12"/>
    </row>
    <row r="12" spans="2:9" ht="29.5" customHeight="1">
      <c r="B12" s="2" t="s">
        <v>13</v>
      </c>
      <c r="C12" s="4">
        <f>C10/C5</f>
        <v>0.85</v>
      </c>
      <c r="E12" s="12"/>
      <c r="F12" s="12"/>
      <c r="G12" s="12"/>
    </row>
    <row r="13" spans="2:9" ht="29.5" customHeight="1">
      <c r="B13" s="2" t="s">
        <v>14</v>
      </c>
      <c r="C13" s="4">
        <f>C11/C5</f>
        <v>0.9</v>
      </c>
    </row>
    <row r="14" spans="2:9" ht="29.5" customHeight="1">
      <c r="B14" s="5" t="s">
        <v>15</v>
      </c>
      <c r="C14" s="6">
        <f>6</f>
        <v>6</v>
      </c>
    </row>
    <row r="15" spans="2:9" ht="29.5" customHeight="1">
      <c r="B15" s="14"/>
      <c r="C15" s="15"/>
    </row>
    <row r="16" spans="2:9" ht="27" customHeight="1">
      <c r="B16" s="7" t="s">
        <v>16</v>
      </c>
      <c r="C16" s="7" t="s">
        <v>17</v>
      </c>
      <c r="D16" s="7" t="s">
        <v>18</v>
      </c>
      <c r="E16" s="7" t="s">
        <v>19</v>
      </c>
      <c r="F16" s="7" t="s">
        <v>20</v>
      </c>
      <c r="G16" s="7" t="s">
        <v>21</v>
      </c>
    </row>
    <row r="17" spans="2:7" ht="27" customHeight="1">
      <c r="B17" t="s">
        <v>22</v>
      </c>
      <c r="C17" t="s">
        <v>23</v>
      </c>
      <c r="D17" s="9">
        <v>110</v>
      </c>
      <c r="E17" s="9">
        <v>4</v>
      </c>
      <c r="F17" t="s">
        <v>23</v>
      </c>
      <c r="G17" t="s">
        <v>23</v>
      </c>
    </row>
    <row r="18" spans="2:7" ht="27" customHeight="1">
      <c r="B18" t="s">
        <v>24</v>
      </c>
      <c r="C18" t="s">
        <v>25</v>
      </c>
      <c r="D18" s="9">
        <v>130</v>
      </c>
      <c r="E18" s="9">
        <v>4</v>
      </c>
      <c r="F18" t="s">
        <v>23</v>
      </c>
      <c r="G18" t="s">
        <v>23</v>
      </c>
    </row>
    <row r="19" spans="2:7" ht="27" customHeight="1">
      <c r="B19" t="s">
        <v>26</v>
      </c>
      <c r="C19" t="s">
        <v>23</v>
      </c>
      <c r="D19" s="9">
        <v>115</v>
      </c>
      <c r="E19" s="9">
        <v>4</v>
      </c>
      <c r="F19" t="s">
        <v>25</v>
      </c>
      <c r="G19" t="s">
        <v>23</v>
      </c>
    </row>
    <row r="20" spans="2:7" ht="27" customHeight="1">
      <c r="B20" t="s">
        <v>27</v>
      </c>
      <c r="C20" t="s">
        <v>25</v>
      </c>
      <c r="D20" s="9">
        <v>125</v>
      </c>
      <c r="E20" s="9">
        <v>4</v>
      </c>
      <c r="F20" t="s">
        <v>23</v>
      </c>
      <c r="G20" t="s">
        <v>23</v>
      </c>
    </row>
    <row r="21" spans="2:7" ht="27" customHeight="1">
      <c r="B21" t="s">
        <v>28</v>
      </c>
      <c r="C21" t="s">
        <v>25</v>
      </c>
      <c r="D21" s="9">
        <v>105</v>
      </c>
      <c r="E21" s="9">
        <v>3</v>
      </c>
      <c r="F21" t="s">
        <v>23</v>
      </c>
      <c r="G21" t="s">
        <v>23</v>
      </c>
    </row>
    <row r="22" spans="2:7" ht="27" customHeight="1">
      <c r="B22" t="s">
        <v>29</v>
      </c>
      <c r="C22" t="s">
        <v>23</v>
      </c>
      <c r="D22" s="9">
        <v>140</v>
      </c>
      <c r="E22" s="9">
        <v>5</v>
      </c>
      <c r="F22" t="s">
        <v>23</v>
      </c>
      <c r="G22" t="s">
        <v>23</v>
      </c>
    </row>
    <row r="23" spans="2:7" ht="27" customHeight="1">
      <c r="B23" t="s">
        <v>30</v>
      </c>
      <c r="C23" t="s">
        <v>25</v>
      </c>
      <c r="D23" s="9">
        <v>120</v>
      </c>
      <c r="E23" s="9">
        <v>4</v>
      </c>
      <c r="F23" t="s">
        <v>23</v>
      </c>
      <c r="G23" t="s">
        <v>23</v>
      </c>
    </row>
    <row r="24" spans="2:7" ht="27" customHeight="1">
      <c r="B24" t="s">
        <v>31</v>
      </c>
      <c r="C24" t="s">
        <v>25</v>
      </c>
      <c r="D24" s="9">
        <v>112</v>
      </c>
      <c r="E24" s="9">
        <v>4</v>
      </c>
      <c r="F24" t="s">
        <v>23</v>
      </c>
      <c r="G24" t="s">
        <v>23</v>
      </c>
    </row>
    <row r="25" spans="2:7" ht="27" customHeight="1">
      <c r="B25" t="s">
        <v>32</v>
      </c>
      <c r="C25" t="s">
        <v>25</v>
      </c>
      <c r="D25" s="9">
        <v>128</v>
      </c>
      <c r="E25" s="9">
        <v>4</v>
      </c>
      <c r="F25" t="s">
        <v>23</v>
      </c>
      <c r="G25" t="s">
        <v>23</v>
      </c>
    </row>
    <row r="26" spans="2:7" ht="27" customHeight="1">
      <c r="B26" t="s">
        <v>33</v>
      </c>
      <c r="C26" t="s">
        <v>23</v>
      </c>
      <c r="D26" s="9">
        <v>108</v>
      </c>
      <c r="E26" s="9">
        <v>3</v>
      </c>
      <c r="F26" t="s">
        <v>25</v>
      </c>
      <c r="G26" t="s">
        <v>25</v>
      </c>
    </row>
    <row r="27" spans="2:7" ht="27" customHeight="1">
      <c r="B27" t="s">
        <v>34</v>
      </c>
      <c r="C27" t="s">
        <v>25</v>
      </c>
      <c r="D27" s="9">
        <v>135</v>
      </c>
      <c r="E27" s="9">
        <v>5</v>
      </c>
      <c r="F27" t="s">
        <v>23</v>
      </c>
      <c r="G27" t="s">
        <v>23</v>
      </c>
    </row>
    <row r="28" spans="2:7" ht="27" customHeight="1">
      <c r="B28" t="s">
        <v>35</v>
      </c>
      <c r="C28" t="s">
        <v>25</v>
      </c>
      <c r="D28" s="9">
        <v>118</v>
      </c>
      <c r="E28" s="9">
        <v>4</v>
      </c>
      <c r="F28" t="s">
        <v>23</v>
      </c>
      <c r="G28" t="s">
        <v>23</v>
      </c>
    </row>
    <row r="29" spans="2:7" ht="27" customHeight="1">
      <c r="B29" t="s">
        <v>36</v>
      </c>
      <c r="C29" t="s">
        <v>25</v>
      </c>
      <c r="D29" s="9">
        <v>113</v>
      </c>
      <c r="E29" s="9">
        <v>4</v>
      </c>
      <c r="F29" t="s">
        <v>23</v>
      </c>
      <c r="G29" t="s">
        <v>23</v>
      </c>
    </row>
    <row r="30" spans="2:7" ht="27" customHeight="1">
      <c r="B30" t="s">
        <v>37</v>
      </c>
      <c r="C30" t="s">
        <v>23</v>
      </c>
      <c r="D30" s="9">
        <v>132</v>
      </c>
      <c r="E30" s="9">
        <v>4</v>
      </c>
      <c r="F30" t="s">
        <v>23</v>
      </c>
      <c r="G30" t="s">
        <v>23</v>
      </c>
    </row>
    <row r="31" spans="2:7" ht="27" customHeight="1">
      <c r="B31" t="s">
        <v>38</v>
      </c>
      <c r="C31" t="s">
        <v>25</v>
      </c>
      <c r="D31" s="9">
        <v>116</v>
      </c>
      <c r="E31" s="9">
        <v>4</v>
      </c>
      <c r="F31" t="s">
        <v>23</v>
      </c>
      <c r="G31" t="s">
        <v>23</v>
      </c>
    </row>
    <row r="32" spans="2:7" ht="27" customHeight="1">
      <c r="B32" t="s">
        <v>39</v>
      </c>
      <c r="C32" t="s">
        <v>25</v>
      </c>
      <c r="D32" s="9">
        <v>122</v>
      </c>
      <c r="E32" s="9">
        <v>4</v>
      </c>
      <c r="F32" t="s">
        <v>23</v>
      </c>
      <c r="G32" t="s">
        <v>23</v>
      </c>
    </row>
    <row r="33" spans="2:7" ht="27" customHeight="1">
      <c r="B33" t="s">
        <v>40</v>
      </c>
      <c r="C33" t="s">
        <v>25</v>
      </c>
      <c r="D33" s="9">
        <v>114</v>
      </c>
      <c r="E33" s="9">
        <v>4</v>
      </c>
      <c r="F33" t="s">
        <v>23</v>
      </c>
      <c r="G33" t="s">
        <v>23</v>
      </c>
    </row>
    <row r="34" spans="2:7" ht="27" customHeight="1">
      <c r="B34" t="s">
        <v>41</v>
      </c>
      <c r="C34" t="s">
        <v>23</v>
      </c>
      <c r="D34" s="9">
        <v>126</v>
      </c>
      <c r="E34" s="9">
        <v>4</v>
      </c>
      <c r="F34" t="s">
        <v>25</v>
      </c>
      <c r="G34" t="s">
        <v>25</v>
      </c>
    </row>
    <row r="35" spans="2:7" ht="27" customHeight="1">
      <c r="B35" t="s">
        <v>42</v>
      </c>
      <c r="C35" t="s">
        <v>25</v>
      </c>
      <c r="D35" s="9">
        <v>109</v>
      </c>
      <c r="E35" s="9">
        <v>4</v>
      </c>
      <c r="F35" t="s">
        <v>23</v>
      </c>
      <c r="G35" t="s">
        <v>23</v>
      </c>
    </row>
    <row r="36" spans="2:7" ht="27" customHeight="1">
      <c r="B36" s="8" t="s">
        <v>43</v>
      </c>
      <c r="C36" s="8" t="s">
        <v>25</v>
      </c>
      <c r="D36" s="10">
        <v>131</v>
      </c>
      <c r="E36" s="10">
        <v>4</v>
      </c>
      <c r="F36" s="8" t="s">
        <v>23</v>
      </c>
      <c r="G36" s="8" t="s">
        <v>23</v>
      </c>
    </row>
  </sheetData>
  <mergeCells count="6">
    <mergeCell ref="E4:G4"/>
    <mergeCell ref="E5:G7"/>
    <mergeCell ref="E9:G9"/>
    <mergeCell ref="E10:G12"/>
    <mergeCell ref="B1:G1"/>
    <mergeCell ref="B2:G2"/>
  </mergeCells>
  <conditionalFormatting sqref="D17:D36">
    <cfRule type="dataBar" priority="1">
      <dataBar>
        <cfvo type="min"/>
        <cfvo type="max"/>
        <color rgb="FF4472C4"/>
      </dataBar>
    </cfRule>
    <cfRule type="dataBar" priority="5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{205A2BAA-4687-C19E-EA7F-448C384E4D64}</x14:id>
        </ext>
      </extLst>
    </cfRule>
  </conditionalFormatting>
  <conditionalFormatting sqref="E17:E36">
    <cfRule type="dataBar" priority="2">
      <dataBar>
        <cfvo type="min"/>
        <cfvo type="max"/>
        <color rgb="FF70AD47"/>
      </dataBar>
    </cfRule>
    <cfRule type="dataBar" priority="6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{4871932A-05B0-E49B-C2EF-57E3F43E159A}</x14:id>
        </ext>
      </extLst>
    </cfRule>
  </conditionalFormatting>
  <conditionalFormatting sqref="F17:G36">
    <cfRule type="expression" dxfId="1" priority="3">
      <formula>F17="No"</formula>
    </cfRule>
  </conditionalFormatting>
  <conditionalFormatting sqref="G17:G36">
    <cfRule type="expression" dxfId="0" priority="4">
      <formula>G17="No"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5A2BAA-4687-C19E-EA7F-448C384E4D64}">
            <x14:dataBar>
              <x14:cfvo type="min"/>
              <x14:cfvo type="max"/>
              <x14:negativeFillColor auto="1"/>
              <x14:axisColor auto="1"/>
            </x14:dataBar>
          </x14:cfRule>
          <xm:sqref>D17:D36</xm:sqref>
        </x14:conditionalFormatting>
        <x14:conditionalFormatting xmlns:xm="http://schemas.microsoft.com/office/excel/2006/main">
          <x14:cfRule type="dataBar" id="{4871932A-05B0-E49B-C2EF-57E3F43E159A}">
            <x14:dataBar>
              <x14:cfvo type="min"/>
              <x14:cfvo type="max"/>
              <x14:negativeFillColor auto="1"/>
              <x14:axisColor auto="1"/>
            </x14:dataBar>
          </x14:cfRule>
          <xm:sqref>E17:E36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Assisted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albarracin_158788</cp:lastModifiedBy>
  <dcterms:modified xsi:type="dcterms:W3CDTF">2026-06-25T01:26:20Z</dcterms:modified>
</cp:coreProperties>
</file>